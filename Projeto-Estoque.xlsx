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SQL\Excel\PROJETOS\"/>
    </mc:Choice>
  </mc:AlternateContent>
  <xr:revisionPtr revIDLastSave="0" documentId="13_ncr:1_{B9CDDA6A-2733-447B-BA14-A71015D3C99D}" xr6:coauthVersionLast="47" xr6:coauthVersionMax="47" xr10:uidLastSave="{00000000-0000-0000-0000-000000000000}"/>
  <bookViews>
    <workbookView xWindow="9675" yWindow="75" windowWidth="10785" windowHeight="10830" firstSheet="1" activeTab="1" xr2:uid="{00000000-000D-0000-FFFF-FFFF00000000}"/>
  </bookViews>
  <sheets>
    <sheet name="Inicío" sheetId="1" r:id="rId1"/>
    <sheet name="Cadastro" sheetId="2" r:id="rId2"/>
    <sheet name="Lançamentos" sheetId="3" r:id="rId3"/>
  </sheets>
  <definedNames>
    <definedName name="ColunaProdutos">TBcadastro[PRODUTO]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2" l="1"/>
  <c r="F4" i="2" s="1"/>
  <c r="E6" i="2"/>
  <c r="F6" i="2" s="1"/>
  <c r="E9" i="3"/>
  <c r="F5" i="2"/>
  <c r="E4" i="3"/>
  <c r="E5" i="3"/>
  <c r="E6" i="3"/>
  <c r="E7" i="3"/>
  <c r="E8" i="3"/>
  <c r="D10" i="3"/>
  <c r="C10" i="3"/>
  <c r="B10" i="3"/>
  <c r="E10" i="3" l="1"/>
</calcChain>
</file>

<file path=xl/sharedStrings.xml><?xml version="1.0" encoding="utf-8"?>
<sst xmlns="http://schemas.openxmlformats.org/spreadsheetml/2006/main" count="24" uniqueCount="14">
  <si>
    <t>PRODUTO</t>
  </si>
  <si>
    <t>MEDIDA</t>
  </si>
  <si>
    <t>ESTOQUE
MÁXIMO</t>
  </si>
  <si>
    <t>SALDO</t>
  </si>
  <si>
    <t>AVISOS</t>
  </si>
  <si>
    <t>Caneta esferografica azul</t>
  </si>
  <si>
    <t>Unidade</t>
  </si>
  <si>
    <t>ESTOQUE
MÍNIMO</t>
  </si>
  <si>
    <t>Caneta esferografica preta</t>
  </si>
  <si>
    <t>DATA</t>
  </si>
  <si>
    <t>ENTRADA</t>
  </si>
  <si>
    <t>SAÍDA</t>
  </si>
  <si>
    <t>Total</t>
  </si>
  <si>
    <t>Caneta esferografica vermelha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</si>
</sst>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0" borderId="0" xfId="0" applyAlignment="1">
      <alignment vertical="top"/>
    </xf>
    <xf numFmtId="0" fontId="0" fillId="3" borderId="0" xfId="0" applyFill="1"/>
    <xf numFmtId="0" fontId="2" fillId="3" borderId="0" xfId="0" applyFont="1" applyFill="1" applyAlignment="1">
      <alignment vertical="top"/>
    </xf>
    <xf numFmtId="14" fontId="0" fillId="0" borderId="0" xfId="0" applyNumberFormat="1"/>
    <xf numFmtId="0" fontId="2" fillId="3" borderId="0" xfId="0" applyFont="1" applyFill="1"/>
    <xf numFmtId="14" fontId="0" fillId="2" borderId="0" xfId="0" applyNumberFormat="1" applyFill="1"/>
    <xf numFmtId="14" fontId="2" fillId="3" borderId="0" xfId="0" applyNumberFormat="1" applyFont="1" applyFill="1"/>
    <xf numFmtId="1" fontId="0" fillId="2" borderId="0" xfId="0" applyNumberFormat="1" applyFill="1"/>
    <xf numFmtId="1" fontId="3" fillId="3" borderId="0" xfId="0" applyNumberFormat="1" applyFont="1" applyFill="1"/>
    <xf numFmtId="1" fontId="1" fillId="3" borderId="0" xfId="0" applyNumberFormat="1" applyFont="1" applyFill="1"/>
    <xf numFmtId="1" fontId="2" fillId="3" borderId="0" xfId="0" applyNumberFormat="1" applyFont="1" applyFill="1"/>
    <xf numFmtId="1" fontId="0" fillId="0" borderId="0" xfId="0" applyNumberFormat="1"/>
    <xf numFmtId="1" fontId="0" fillId="3" borderId="0" xfId="0" applyNumberFormat="1" applyFill="1"/>
    <xf numFmtId="1" fontId="2" fillId="3" borderId="0" xfId="0" applyNumberFormat="1" applyFont="1" applyFill="1" applyAlignment="1">
      <alignment vertical="top" wrapText="1"/>
    </xf>
    <xf numFmtId="1" fontId="2" fillId="3" borderId="0" xfId="0" applyNumberFormat="1" applyFont="1" applyFill="1" applyAlignment="1">
      <alignment vertical="top"/>
    </xf>
  </cellXfs>
  <cellStyles count="1">
    <cellStyle name="Normal" xfId="0" builtinId="0"/>
  </cellStyles>
  <dxfs count="16">
    <dxf>
      <fill>
        <patternFill patternType="solid">
          <fgColor indexed="64"/>
          <bgColor theme="0" tint="-0.249977111117893"/>
        </patternFill>
      </fill>
    </dxf>
    <dxf>
      <numFmt numFmtId="1" formatCode="0"/>
      <fill>
        <patternFill patternType="solid">
          <fgColor indexed="64"/>
          <bgColor theme="0" tint="-0.249977111117893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  <dxf>
      <font>
        <strike val="0"/>
        <outline val="0"/>
        <shadow val="0"/>
        <u val="none"/>
        <vertAlign val="baseline"/>
        <sz val="11"/>
        <color theme="2" tint="-0.749992370372631"/>
        <name val="Calibri"/>
        <family val="2"/>
        <scheme val="minor"/>
      </font>
      <fill>
        <patternFill>
          <fgColor indexed="64"/>
          <bgColor theme="0" tint="-0.24997711111789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numFmt numFmtId="0" formatCode="General"/>
      <fill>
        <patternFill patternType="solid">
          <fgColor indexed="64"/>
          <bgColor theme="0" tint="-0.249977111117893"/>
        </patternFill>
      </fill>
    </dxf>
    <dxf>
      <numFmt numFmtId="1" formatCode="0"/>
      <fill>
        <patternFill patternType="solid">
          <fgColor indexed="64"/>
          <bgColor theme="0" tint="-0.249977111117893"/>
        </patternFill>
      </fill>
    </dxf>
    <dxf>
      <numFmt numFmtId="1" formatCode="0"/>
    </dxf>
    <dxf>
      <numFmt numFmtId="1" formatCode="0"/>
    </dxf>
    <dxf>
      <font>
        <strike val="0"/>
        <outline val="0"/>
        <shadow val="0"/>
        <u val="none"/>
        <vertAlign val="baseline"/>
        <sz val="11"/>
        <color theme="2" tint="-0.74999237037263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color theme="7" tint="0.39994506668294322"/>
      </font>
      <fill>
        <patternFill>
          <bgColor theme="2" tint="-0.749961851863155"/>
        </patternFill>
      </fill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Cadastro!$E$3</c:f>
              <c:strCache>
                <c:ptCount val="1"/>
                <c:pt idx="0">
                  <c:v>SALDO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43-4A8B-A730-D4EA2F9459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43-4A8B-A730-D4EA2F9459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43-4A8B-A730-D4EA2F9459FA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Cadastro!$A$4:$A$6</c:f>
              <c:strCache>
                <c:ptCount val="3"/>
                <c:pt idx="0">
                  <c:v>Caneta esferografica azul</c:v>
                </c:pt>
                <c:pt idx="1">
                  <c:v>Caneta esferografica preta</c:v>
                </c:pt>
                <c:pt idx="2">
                  <c:v>Caneta esferografica vermelha</c:v>
                </c:pt>
              </c:strCache>
            </c:strRef>
          </c:cat>
          <c:val>
            <c:numRef>
              <c:f>Cadastro!$E$4:$E$6</c:f>
              <c:numCache>
                <c:formatCode>0</c:formatCode>
                <c:ptCount val="3"/>
                <c:pt idx="0">
                  <c:v>9</c:v>
                </c:pt>
                <c:pt idx="1">
                  <c:v>150</c:v>
                </c:pt>
                <c:pt idx="2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5-4CD6-8910-884F65B7C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Lan&#231;amentos!A1"/><Relationship Id="rId1" Type="http://schemas.openxmlformats.org/officeDocument/2006/relationships/hyperlink" Target="#Cadastro!G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hyperlink" Target="#Lan&#231;amentos!A1"/><Relationship Id="rId1" Type="http://schemas.openxmlformats.org/officeDocument/2006/relationships/hyperlink" Target="#Inic&#237;o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Cadastro!A1"/><Relationship Id="rId1" Type="http://schemas.openxmlformats.org/officeDocument/2006/relationships/hyperlink" Target="#Inic&#237;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115359</xdr:rowOff>
    </xdr:from>
    <xdr:to>
      <xdr:col>0</xdr:col>
      <xdr:colOff>1990725</xdr:colOff>
      <xdr:row>0</xdr:row>
      <xdr:rowOff>505884</xdr:rowOff>
    </xdr:to>
    <xdr:sp macro="" textlink="">
      <xdr:nvSpPr>
        <xdr:cNvPr id="2" name="Retângulo: Cantos Superiores Recortados 1">
          <a:extLst>
            <a:ext uri="{FF2B5EF4-FFF2-40B4-BE49-F238E27FC236}">
              <a16:creationId xmlns:a16="http://schemas.microsoft.com/office/drawing/2014/main" id="{93C3D0AA-9F3A-400D-98CB-06267E94098E}"/>
            </a:ext>
          </a:extLst>
        </xdr:cNvPr>
        <xdr:cNvSpPr/>
      </xdr:nvSpPr>
      <xdr:spPr>
        <a:xfrm>
          <a:off x="95250" y="115359"/>
          <a:ext cx="1895475" cy="390525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Inicío</a:t>
          </a:r>
        </a:p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2102379</xdr:colOff>
      <xdr:row>0</xdr:row>
      <xdr:rowOff>115359</xdr:rowOff>
    </xdr:from>
    <xdr:to>
      <xdr:col>2</xdr:col>
      <xdr:colOff>230187</xdr:colOff>
      <xdr:row>0</xdr:row>
      <xdr:rowOff>505884</xdr:rowOff>
    </xdr:to>
    <xdr:sp macro="" textlink="">
      <xdr:nvSpPr>
        <xdr:cNvPr id="4" name="Retângulo: Cantos Superiores Recort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CE0085-CAC0-4464-A5CF-58B8365B27DE}"/>
            </a:ext>
          </a:extLst>
        </xdr:cNvPr>
        <xdr:cNvSpPr/>
      </xdr:nvSpPr>
      <xdr:spPr>
        <a:xfrm>
          <a:off x="2102379" y="115359"/>
          <a:ext cx="1895475" cy="390525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Cadastro</a:t>
          </a:r>
        </a:p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341841</xdr:colOff>
      <xdr:row>0</xdr:row>
      <xdr:rowOff>115359</xdr:rowOff>
    </xdr:from>
    <xdr:to>
      <xdr:col>4</xdr:col>
      <xdr:colOff>141816</xdr:colOff>
      <xdr:row>0</xdr:row>
      <xdr:rowOff>505884</xdr:rowOff>
    </xdr:to>
    <xdr:sp macro="" textlink="">
      <xdr:nvSpPr>
        <xdr:cNvPr id="5" name="Retângulo: Cantos Superiores Recort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F63078-B2B6-4BF9-9BF6-97E0C10DC2C7}"/>
            </a:ext>
          </a:extLst>
        </xdr:cNvPr>
        <xdr:cNvSpPr/>
      </xdr:nvSpPr>
      <xdr:spPr>
        <a:xfrm>
          <a:off x="4109508" y="115359"/>
          <a:ext cx="1895475" cy="390525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Lançamentos</a:t>
          </a:r>
        </a:p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1</xdr:col>
      <xdr:colOff>816294</xdr:colOff>
      <xdr:row>4</xdr:row>
      <xdr:rowOff>63500</xdr:rowOff>
    </xdr:from>
    <xdr:ext cx="2880276" cy="71853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4DE0B3B0-241E-469E-97E6-CBFE06D9A7F6}"/>
            </a:ext>
          </a:extLst>
        </xdr:cNvPr>
        <xdr:cNvSpPr txBox="1"/>
      </xdr:nvSpPr>
      <xdr:spPr>
        <a:xfrm>
          <a:off x="3530919" y="1135063"/>
          <a:ext cx="2880276" cy="7185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2000" b="1">
              <a:latin typeface="+mn-lt"/>
            </a:rPr>
            <a:t>CONTROLE</a:t>
          </a:r>
          <a:r>
            <a:rPr lang="pt-BR" sz="2000" b="1" baseline="0">
              <a:latin typeface="+mn-lt"/>
            </a:rPr>
            <a:t> DE ESTOQUES</a:t>
          </a:r>
        </a:p>
        <a:p>
          <a:pPr algn="ctr"/>
          <a:r>
            <a:rPr lang="pt-BR" sz="2000" b="1" baseline="0">
              <a:latin typeface="+mn-lt"/>
            </a:rPr>
            <a:t>SIMPLIFICADO</a:t>
          </a:r>
          <a:endParaRPr lang="pt-BR" sz="2000" b="1">
            <a:latin typeface="+mn-lt"/>
          </a:endParaRPr>
        </a:p>
      </xdr:txBody>
    </xdr:sp>
    <xdr:clientData/>
  </xdr:oneCellAnchor>
  <xdr:oneCellAnchor>
    <xdr:from>
      <xdr:col>0</xdr:col>
      <xdr:colOff>2465916</xdr:colOff>
      <xdr:row>9</xdr:row>
      <xdr:rowOff>125677</xdr:rowOff>
    </xdr:from>
    <xdr:ext cx="5010282" cy="1031693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932B49C0-62ED-4974-8146-3FCC24A4EA68}"/>
            </a:ext>
          </a:extLst>
        </xdr:cNvPr>
        <xdr:cNvSpPr txBox="1"/>
      </xdr:nvSpPr>
      <xdr:spPr>
        <a:xfrm>
          <a:off x="2465916" y="2149740"/>
          <a:ext cx="5010282" cy="1031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200" b="1"/>
            <a:t>ORIENTAÇÕES</a:t>
          </a:r>
        </a:p>
        <a:p>
          <a:pPr algn="ctr"/>
          <a:endParaRPr lang="pt-BR" sz="1200"/>
        </a:p>
        <a:p>
          <a:pPr algn="ctr"/>
          <a:r>
            <a:rPr lang="pt-BR" sz="1200"/>
            <a:t>1.</a:t>
          </a:r>
          <a:r>
            <a:rPr lang="pt-BR" sz="1200" baseline="0"/>
            <a:t> Cadastrar o produto na aba"Cadastro".</a:t>
          </a:r>
        </a:p>
        <a:p>
          <a:pPr algn="ctr"/>
          <a:r>
            <a:rPr lang="pt-BR" sz="1200" baseline="0"/>
            <a:t>2. Registrar as entradas e saídas na aba "Lançamentos".</a:t>
          </a:r>
        </a:p>
        <a:p>
          <a:pPr algn="ctr"/>
          <a:r>
            <a:rPr lang="pt-BR" sz="1200" baseline="0"/>
            <a:t>3. Relatórios e consultas usar os filtros nas abas "Cadastro" e "Lançamentos".</a:t>
          </a:r>
        </a:p>
      </xdr:txBody>
    </xdr:sp>
    <xdr:clientData/>
  </xdr:oneCellAnchor>
  <xdr:oneCellAnchor>
    <xdr:from>
      <xdr:col>6</xdr:col>
      <xdr:colOff>1059656</xdr:colOff>
      <xdr:row>0</xdr:row>
      <xdr:rowOff>11906</xdr:rowOff>
    </xdr:from>
    <xdr:ext cx="1769841" cy="515013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5176A2E-A768-4D90-BCA4-4ED495191A7A}"/>
            </a:ext>
          </a:extLst>
        </xdr:cNvPr>
        <xdr:cNvSpPr txBox="1"/>
      </xdr:nvSpPr>
      <xdr:spPr>
        <a:xfrm>
          <a:off x="9013031" y="11906"/>
          <a:ext cx="1769841" cy="51501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 b="1">
              <a:solidFill>
                <a:schemeClr val="accent6">
                  <a:lumMod val="75000"/>
                </a:schemeClr>
              </a:solidFill>
            </a:rPr>
            <a:t>Educandoweb</a:t>
          </a:r>
        </a:p>
        <a:p>
          <a:r>
            <a:rPr lang="pt-BR" sz="1100"/>
            <a:t>Controle de estoque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115359</xdr:rowOff>
    </xdr:from>
    <xdr:to>
      <xdr:col>0</xdr:col>
      <xdr:colOff>1990725</xdr:colOff>
      <xdr:row>0</xdr:row>
      <xdr:rowOff>505884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A47BAD-809C-48F4-8CE2-062240B1586E}"/>
            </a:ext>
          </a:extLst>
        </xdr:cNvPr>
        <xdr:cNvSpPr/>
      </xdr:nvSpPr>
      <xdr:spPr>
        <a:xfrm>
          <a:off x="95250" y="115359"/>
          <a:ext cx="1895475" cy="390525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Inicío</a:t>
          </a:r>
        </a:p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2102379</xdr:colOff>
      <xdr:row>0</xdr:row>
      <xdr:rowOff>115359</xdr:rowOff>
    </xdr:from>
    <xdr:to>
      <xdr:col>3</xdr:col>
      <xdr:colOff>230187</xdr:colOff>
      <xdr:row>0</xdr:row>
      <xdr:rowOff>505884</xdr:rowOff>
    </xdr:to>
    <xdr:sp macro="" textlink="">
      <xdr:nvSpPr>
        <xdr:cNvPr id="3" name="Retângulo: Cantos Superiores Recortados 2">
          <a:extLst>
            <a:ext uri="{FF2B5EF4-FFF2-40B4-BE49-F238E27FC236}">
              <a16:creationId xmlns:a16="http://schemas.microsoft.com/office/drawing/2014/main" id="{8E224CC5-0F31-469D-9D4C-31419B9DC8CD}"/>
            </a:ext>
          </a:extLst>
        </xdr:cNvPr>
        <xdr:cNvSpPr/>
      </xdr:nvSpPr>
      <xdr:spPr>
        <a:xfrm>
          <a:off x="2102379" y="115359"/>
          <a:ext cx="1890183" cy="390525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Cadastro</a:t>
          </a:r>
        </a:p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341841</xdr:colOff>
      <xdr:row>0</xdr:row>
      <xdr:rowOff>115359</xdr:rowOff>
    </xdr:from>
    <xdr:to>
      <xdr:col>5</xdr:col>
      <xdr:colOff>141816</xdr:colOff>
      <xdr:row>0</xdr:row>
      <xdr:rowOff>505884</xdr:rowOff>
    </xdr:to>
    <xdr:sp macro="" textlink="">
      <xdr:nvSpPr>
        <xdr:cNvPr id="4" name="Retângulo: Cantos Superiores Recort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AF9F6F-AA79-4DA7-8096-2BC096BB6E7F}"/>
            </a:ext>
          </a:extLst>
        </xdr:cNvPr>
        <xdr:cNvSpPr/>
      </xdr:nvSpPr>
      <xdr:spPr>
        <a:xfrm>
          <a:off x="4104216" y="115359"/>
          <a:ext cx="1895475" cy="390525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Lançamentos</a:t>
          </a:r>
        </a:p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6</xdr:col>
      <xdr:colOff>1129393</xdr:colOff>
      <xdr:row>0</xdr:row>
      <xdr:rowOff>0</xdr:rowOff>
    </xdr:from>
    <xdr:ext cx="1706940" cy="515013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5E506E76-1427-47F7-A3B0-5E015A1C3F60}"/>
            </a:ext>
          </a:extLst>
        </xdr:cNvPr>
        <xdr:cNvSpPr txBox="1"/>
      </xdr:nvSpPr>
      <xdr:spPr>
        <a:xfrm>
          <a:off x="9892393" y="0"/>
          <a:ext cx="1706940" cy="51501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 b="1">
              <a:solidFill>
                <a:schemeClr val="accent6">
                  <a:lumMod val="75000"/>
                </a:schemeClr>
              </a:solidFill>
            </a:rPr>
            <a:t>Educandoweb</a:t>
          </a:r>
        </a:p>
        <a:p>
          <a:r>
            <a:rPr lang="pt-BR" sz="1100"/>
            <a:t>Controle de estoque</a:t>
          </a:r>
        </a:p>
      </xdr:txBody>
    </xdr:sp>
    <xdr:clientData/>
  </xdr:oneCellAnchor>
  <xdr:twoCellAnchor editAs="absolute">
    <xdr:from>
      <xdr:col>6</xdr:col>
      <xdr:colOff>136071</xdr:colOff>
      <xdr:row>2</xdr:row>
      <xdr:rowOff>342901</xdr:rowOff>
    </xdr:from>
    <xdr:to>
      <xdr:col>6</xdr:col>
      <xdr:colOff>5021035</xdr:colOff>
      <xdr:row>21</xdr:row>
      <xdr:rowOff>13607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99F600A-BBF7-42B4-BD04-690395056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6</xdr:col>
      <xdr:colOff>122464</xdr:colOff>
      <xdr:row>1</xdr:row>
      <xdr:rowOff>133404</xdr:rowOff>
    </xdr:from>
    <xdr:ext cx="4884965" cy="311496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34DB045-7026-4CF5-91CB-4D3D3AED6A18}"/>
            </a:ext>
          </a:extLst>
        </xdr:cNvPr>
        <xdr:cNvSpPr txBox="1"/>
      </xdr:nvSpPr>
      <xdr:spPr>
        <a:xfrm>
          <a:off x="8885464" y="636868"/>
          <a:ext cx="4884965" cy="31149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1400" b="1"/>
            <a:t>COMPOSIÇÃO</a:t>
          </a:r>
          <a:r>
            <a:rPr lang="pt-BR" sz="1400" b="1" baseline="0"/>
            <a:t> DO SALDO ATUAL DO ESTOQUE</a:t>
          </a:r>
          <a:endParaRPr lang="pt-BR" sz="1400" b="1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115359</xdr:rowOff>
    </xdr:from>
    <xdr:to>
      <xdr:col>0</xdr:col>
      <xdr:colOff>1990725</xdr:colOff>
      <xdr:row>0</xdr:row>
      <xdr:rowOff>505884</xdr:rowOff>
    </xdr:to>
    <xdr:sp macro="" textlink="">
      <xdr:nvSpPr>
        <xdr:cNvPr id="2" name="Retângulo: Cantos Superiores Recort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0B38A6-7AD8-4D62-A805-2BB3B043B8DD}"/>
            </a:ext>
          </a:extLst>
        </xdr:cNvPr>
        <xdr:cNvSpPr/>
      </xdr:nvSpPr>
      <xdr:spPr>
        <a:xfrm>
          <a:off x="95250" y="115359"/>
          <a:ext cx="1895475" cy="390525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Inicío</a:t>
          </a:r>
        </a:p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2102379</xdr:colOff>
      <xdr:row>0</xdr:row>
      <xdr:rowOff>115359</xdr:rowOff>
    </xdr:from>
    <xdr:to>
      <xdr:col>2</xdr:col>
      <xdr:colOff>230187</xdr:colOff>
      <xdr:row>0</xdr:row>
      <xdr:rowOff>505884</xdr:rowOff>
    </xdr:to>
    <xdr:sp macro="" textlink="">
      <xdr:nvSpPr>
        <xdr:cNvPr id="3" name="Retângulo: Cantos Superiores Recort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5E8C18-746B-4303-986D-15D77C331501}"/>
            </a:ext>
          </a:extLst>
        </xdr:cNvPr>
        <xdr:cNvSpPr/>
      </xdr:nvSpPr>
      <xdr:spPr>
        <a:xfrm>
          <a:off x="2102379" y="115359"/>
          <a:ext cx="1890183" cy="390525"/>
        </a:xfrm>
        <a:prstGeom prst="snip2SameRect">
          <a:avLst>
            <a:gd name="adj1" fmla="val 50000"/>
            <a:gd name="adj2" fmla="val 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Cadastro</a:t>
          </a:r>
        </a:p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341841</xdr:colOff>
      <xdr:row>0</xdr:row>
      <xdr:rowOff>115359</xdr:rowOff>
    </xdr:from>
    <xdr:to>
      <xdr:col>4</xdr:col>
      <xdr:colOff>141816</xdr:colOff>
      <xdr:row>0</xdr:row>
      <xdr:rowOff>505884</xdr:rowOff>
    </xdr:to>
    <xdr:sp macro="" textlink="">
      <xdr:nvSpPr>
        <xdr:cNvPr id="4" name="Retângulo: Cantos Superiores Recortados 3">
          <a:extLst>
            <a:ext uri="{FF2B5EF4-FFF2-40B4-BE49-F238E27FC236}">
              <a16:creationId xmlns:a16="http://schemas.microsoft.com/office/drawing/2014/main" id="{D2B7D51D-145E-4EB1-B72E-209E5BC70E73}"/>
            </a:ext>
          </a:extLst>
        </xdr:cNvPr>
        <xdr:cNvSpPr/>
      </xdr:nvSpPr>
      <xdr:spPr>
        <a:xfrm>
          <a:off x="4104216" y="115359"/>
          <a:ext cx="1895475" cy="390525"/>
        </a:xfrm>
        <a:prstGeom prst="snip2SameRect">
          <a:avLst>
            <a:gd name="adj1" fmla="val 50000"/>
            <a:gd name="adj2" fmla="val 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Lançamentos</a:t>
          </a:r>
        </a:p>
        <a:p>
          <a:pPr algn="ctr"/>
          <a:endParaRPr lang="pt-BR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6</xdr:col>
      <xdr:colOff>1447491</xdr:colOff>
      <xdr:row>0</xdr:row>
      <xdr:rowOff>0</xdr:rowOff>
    </xdr:from>
    <xdr:ext cx="1388842" cy="515013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8D3A0F93-748F-4812-A15E-C04D62006C1D}"/>
            </a:ext>
          </a:extLst>
        </xdr:cNvPr>
        <xdr:cNvSpPr txBox="1"/>
      </xdr:nvSpPr>
      <xdr:spPr>
        <a:xfrm>
          <a:off x="9406158" y="0"/>
          <a:ext cx="1388842" cy="51501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600" b="1">
              <a:solidFill>
                <a:schemeClr val="accent6">
                  <a:lumMod val="75000"/>
                </a:schemeClr>
              </a:solidFill>
            </a:rPr>
            <a:t>Educandoweb</a:t>
          </a:r>
        </a:p>
        <a:p>
          <a:r>
            <a:rPr lang="pt-BR" sz="1100"/>
            <a:t>Controle de estoque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9E67AF-5A87-4EB2-81E0-66CC15BF32AB}" name="TBcadastro" displayName="TBcadastro" ref="A3:F6" totalsRowShown="0" headerRowDxfId="13">
  <autoFilter ref="A3:F6" xr:uid="{D49E67AF-5A87-4EB2-81E0-66CC15BF32AB}"/>
  <tableColumns count="6">
    <tableColumn id="1" xr3:uid="{508AF61C-ABB1-4C03-B1E3-076EBF8684C1}" name="PRODUTO"/>
    <tableColumn id="2" xr3:uid="{D34ADFF7-1F1D-401D-B2F9-F55D80B749F8}" name="MEDIDA"/>
    <tableColumn id="3" xr3:uid="{64B5D4A5-645B-48AF-B705-7A3F31040EE2}" name="ESTOQUE_x000a_MÍNIMO" dataDxfId="12"/>
    <tableColumn id="4" xr3:uid="{BA108089-5C19-4C19-B4D8-ADBF9F05BF17}" name="ESTOQUE_x000a_MÁXIMO" dataDxfId="11"/>
    <tableColumn id="5" xr3:uid="{720A3287-3282-42A1-9075-876EC844068D}" name="SALDO" dataDxfId="10">
      <calculatedColumnFormula>SUMIF(TBlancamentos[PRODUTO],TBcadastro[[#This Row],[PRODUTO]],TBlancamentos[ENTRADA])-SUMIF(TBlancamentos[PRODUTO],TBcadastro[[#This Row],[PRODUTO]],TBlancamentos[SAÍDA])</calculatedColumnFormula>
    </tableColumn>
    <tableColumn id="6" xr3:uid="{3AA54973-4056-436F-9305-CD6E87005231}" name="AVISOS" dataDxfId="9">
      <calculatedColumnFormula>IF(TBcadastro[[#This Row],[SALDO]]&lt;TBcadastro[[#This Row],[ESTOQUE
MÍNIMO]],"Solicitar nova compra!",IF(TBcadastro[[#This Row],[SALDO]]&gt;TBcadastro[[#This Row],[ESTOQUE
MÁXIMO]],"Priorizar venda!",""))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4CC9F6-7B97-4C4F-9170-CA52A1DA4A54}" name="TBlancamentos" displayName="TBlancamentos" ref="A3:E10" totalsRowCount="1" headerRowDxfId="7">
  <autoFilter ref="A3:E9" xr:uid="{EE4CC9F6-7B97-4C4F-9170-CA52A1DA4A54}"/>
  <tableColumns count="5">
    <tableColumn id="1" xr3:uid="{5E39D73D-283F-4B2A-92AC-29498F652C57}" name="PRODUTO" totalsRowLabel="Total"/>
    <tableColumn id="2" xr3:uid="{46896B19-878E-4C81-A67B-7FD09CD91E3D}" name="DATA" totalsRowFunction="count" dataDxfId="6"/>
    <tableColumn id="3" xr3:uid="{FC8E9AAC-5ABE-4DA8-9A36-3136376BE26F}" name="ENTRADA" totalsRowFunction="sum" dataDxfId="5" totalsRowDxfId="4"/>
    <tableColumn id="4" xr3:uid="{83F1AEFA-E3EF-49DF-A884-A2FED31EE453}" name="SAÍDA" totalsRowFunction="sum" dataDxfId="3" totalsRowDxfId="2"/>
    <tableColumn id="5" xr3:uid="{CEF2DF10-F64D-4E83-8137-3DB898BF5A03}" name="SALDO" totalsRowFunction="count" dataDxfId="1" totalsRowDxfId="0">
      <calculatedColumnFormula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zoomScale="80" zoomScaleNormal="80" workbookViewId="0">
      <selection activeCell="G7" sqref="G7"/>
    </sheetView>
  </sheetViews>
  <sheetFormatPr defaultColWidth="0" defaultRowHeight="15" x14ac:dyDescent="0.25"/>
  <cols>
    <col min="1" max="1" width="40.7109375" customWidth="1"/>
    <col min="2" max="6" width="15.7109375" customWidth="1"/>
    <col min="7" max="7" width="42.5703125" customWidth="1"/>
    <col min="8" max="16384" width="9.140625" hidden="1"/>
  </cols>
  <sheetData>
    <row r="1" s="1" customFormat="1" ht="39.950000000000003" customHeight="1" x14ac:dyDescent="0.25"/>
    <row r="2" customFormat="1" x14ac:dyDescent="0.25"/>
    <row r="3" customFormat="1" x14ac:dyDescent="0.25"/>
    <row r="4" customFormat="1" x14ac:dyDescent="0.25"/>
    <row r="5" customFormat="1" x14ac:dyDescent="0.25"/>
    <row r="6" customFormat="1" x14ac:dyDescent="0.25"/>
    <row r="7" customFormat="1" x14ac:dyDescent="0.25"/>
    <row r="8" customFormat="1" x14ac:dyDescent="0.25"/>
    <row r="9" customFormat="1" x14ac:dyDescent="0.25"/>
    <row r="10" customFormat="1" x14ac:dyDescent="0.25"/>
    <row r="11" customFormat="1" x14ac:dyDescent="0.25"/>
    <row r="12" customFormat="1" x14ac:dyDescent="0.25"/>
    <row r="13" customFormat="1" x14ac:dyDescent="0.25"/>
    <row r="14" customFormat="1" x14ac:dyDescent="0.25"/>
    <row r="15" customFormat="1" x14ac:dyDescent="0.25"/>
    <row r="16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</sheetData>
  <sheetProtection sheet="1" objects="1" scenarios="1" select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6E7B-ABA9-4D39-BD22-CA38B5B2C5A8}">
  <dimension ref="A1:H6"/>
  <sheetViews>
    <sheetView showGridLines="0" tabSelected="1" topLeftCell="D1" zoomScale="70" zoomScaleNormal="70" workbookViewId="0">
      <selection activeCell="E11" sqref="E11"/>
    </sheetView>
  </sheetViews>
  <sheetFormatPr defaultColWidth="0" defaultRowHeight="15" x14ac:dyDescent="0.25"/>
  <cols>
    <col min="1" max="1" width="40.7109375" customWidth="1"/>
    <col min="2" max="2" width="15.7109375" customWidth="1"/>
    <col min="3" max="5" width="15.7109375" style="13" customWidth="1"/>
    <col min="6" max="6" width="27.7109375" customWidth="1"/>
    <col min="7" max="7" width="100.140625" customWidth="1"/>
    <col min="8" max="8" width="0" hidden="1" customWidth="1"/>
    <col min="9" max="16384" width="9.140625" hidden="1"/>
  </cols>
  <sheetData>
    <row r="1" spans="1:6" s="1" customFormat="1" ht="39.950000000000003" customHeight="1" x14ac:dyDescent="0.25">
      <c r="C1" s="9"/>
      <c r="D1" s="9"/>
      <c r="E1" s="9"/>
    </row>
    <row r="3" spans="1:6" s="2" customFormat="1" ht="30" x14ac:dyDescent="0.25">
      <c r="A3" s="4" t="s">
        <v>0</v>
      </c>
      <c r="B3" s="4" t="s">
        <v>1</v>
      </c>
      <c r="C3" s="15" t="s">
        <v>7</v>
      </c>
      <c r="D3" s="15" t="s">
        <v>2</v>
      </c>
      <c r="E3" s="16" t="s">
        <v>3</v>
      </c>
      <c r="F3" s="4" t="s">
        <v>4</v>
      </c>
    </row>
    <row r="4" spans="1:6" x14ac:dyDescent="0.25">
      <c r="A4" t="s">
        <v>5</v>
      </c>
      <c r="B4" t="s">
        <v>6</v>
      </c>
      <c r="C4" s="13">
        <v>15</v>
      </c>
      <c r="D4" s="13">
        <v>150</v>
      </c>
      <c r="E4" s="14">
        <f>SUMIF(TBlancamentos[PRODUTO],TBcadastro[[#This Row],[PRODUTO]],TBlancamentos[ENTRADA])-SUMIF(TBlancamentos[PRODUTO],TBcadastro[[#This Row],[PRODUTO]],TBlancamentos[SAÍDA])</f>
        <v>9</v>
      </c>
      <c r="F4" s="3" t="str">
        <f>IF(TBcadastro[[#This Row],[SALDO]]&lt;TBcadastro[[#This Row],[ESTOQUE
MÍNIMO]],"Solicitar nova compra!",IF(TBcadastro[[#This Row],[SALDO]]&gt;TBcadastro[[#This Row],[ESTOQUE
MÁXIMO]],"Priorizar venda!",""))</f>
        <v>Solicitar nova compra!</v>
      </c>
    </row>
    <row r="5" spans="1:6" x14ac:dyDescent="0.25">
      <c r="A5" t="s">
        <v>8</v>
      </c>
      <c r="B5" t="s">
        <v>6</v>
      </c>
      <c r="C5" s="13">
        <v>15</v>
      </c>
      <c r="D5" s="13">
        <v>150</v>
      </c>
      <c r="E5" s="14">
        <v>150</v>
      </c>
      <c r="F5" s="3" t="str">
        <f>IF(TBcadastro[[#This Row],[SALDO]]&lt;TBcadastro[[#This Row],[ESTOQUE
MÍNIMO]],"Solicitar nova compra!",IF(TBcadastro[[#This Row],[SALDO]]&gt;TBcadastro[[#This Row],[ESTOQUE
MÁXIMO]],"Priorizar venda!",""))</f>
        <v/>
      </c>
    </row>
    <row r="6" spans="1:6" x14ac:dyDescent="0.25">
      <c r="A6" t="s">
        <v>13</v>
      </c>
      <c r="B6" t="s">
        <v>6</v>
      </c>
      <c r="C6" s="13">
        <v>10</v>
      </c>
      <c r="D6" s="13">
        <v>150</v>
      </c>
      <c r="E6" s="14">
        <f>SUMIF(TBlancamentos[PRODUTO],TBcadastro[[#This Row],[PRODUTO]],TBlancamentos[ENTRADA])-SUMIF(TBlancamentos[PRODUTO],TBcadastro[[#This Row],[PRODUTO]],TBlancamentos[SAÍDA])</f>
        <v>165</v>
      </c>
      <c r="F6" s="3" t="str">
        <f>IF(TBcadastro[[#This Row],[SALDO]]&lt;TBcadastro[[#This Row],[ESTOQUE
MÍNIMO]],"Solicitar nova compra!",IF(TBcadastro[[#This Row],[SALDO]]&gt;TBcadastro[[#This Row],[ESTOQUE
MÁXIMO]],"Priorizar venda!",""))</f>
        <v>Priorizar venda!</v>
      </c>
    </row>
  </sheetData>
  <conditionalFormatting sqref="F4:F6">
    <cfRule type="containsText" dxfId="15" priority="2" operator="containsText" text="Solicitar nova compra!">
      <formula>NOT(ISERROR(SEARCH("Solicitar nova compra!",F4)))</formula>
    </cfRule>
    <cfRule type="containsText" dxfId="14" priority="1" operator="containsText" text="Priorizar venda!">
      <formula>NOT(ISERROR(SEARCH("Priorizar venda!",F4)))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B8D8B-80A2-4F2C-8ED3-128093FB7F8F}">
  <dimension ref="A1:G10"/>
  <sheetViews>
    <sheetView showGridLines="0" topLeftCell="B1" zoomScale="90" zoomScaleNormal="90" workbookViewId="0">
      <selection activeCell="E16" sqref="E16"/>
    </sheetView>
  </sheetViews>
  <sheetFormatPr defaultColWidth="0" defaultRowHeight="15" x14ac:dyDescent="0.25"/>
  <cols>
    <col min="1" max="1" width="40.7109375" customWidth="1"/>
    <col min="2" max="2" width="15.7109375" style="5" customWidth="1"/>
    <col min="3" max="3" width="16.140625" style="13" customWidth="1"/>
    <col min="4" max="4" width="15.7109375" style="13" customWidth="1"/>
    <col min="5" max="5" width="17.7109375" style="13" customWidth="1"/>
    <col min="6" max="6" width="15.7109375" customWidth="1"/>
    <col min="7" max="7" width="42.5703125" customWidth="1"/>
    <col min="8" max="16384" width="9.140625" hidden="1"/>
  </cols>
  <sheetData>
    <row r="1" spans="1:5" s="1" customFormat="1" ht="39.950000000000003" customHeight="1" x14ac:dyDescent="0.25">
      <c r="B1" s="7"/>
      <c r="C1" s="9"/>
      <c r="D1" s="9"/>
      <c r="E1" s="9"/>
    </row>
    <row r="3" spans="1:5" x14ac:dyDescent="0.25">
      <c r="A3" s="6" t="s">
        <v>0</v>
      </c>
      <c r="B3" s="8" t="s">
        <v>9</v>
      </c>
      <c r="C3" s="10" t="s">
        <v>10</v>
      </c>
      <c r="D3" s="11" t="s">
        <v>11</v>
      </c>
      <c r="E3" s="12" t="s">
        <v>3</v>
      </c>
    </row>
    <row r="4" spans="1:5" x14ac:dyDescent="0.25">
      <c r="A4" t="s">
        <v>5</v>
      </c>
      <c r="B4" s="5">
        <v>43698</v>
      </c>
      <c r="C4" s="13">
        <v>30</v>
      </c>
      <c r="D4" s="13">
        <v>31</v>
      </c>
      <c r="E4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-1</v>
      </c>
    </row>
    <row r="5" spans="1:5" x14ac:dyDescent="0.25">
      <c r="A5" t="s">
        <v>5</v>
      </c>
      <c r="B5" s="5">
        <v>43699</v>
      </c>
      <c r="C5" s="13">
        <v>20</v>
      </c>
      <c r="D5" s="13">
        <v>10</v>
      </c>
      <c r="E5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9</v>
      </c>
    </row>
    <row r="6" spans="1:5" x14ac:dyDescent="0.25">
      <c r="A6" t="s">
        <v>8</v>
      </c>
      <c r="B6" s="5">
        <v>43760</v>
      </c>
      <c r="C6" s="13">
        <v>30</v>
      </c>
      <c r="D6" s="13">
        <v>20</v>
      </c>
      <c r="E6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13</v>
      </c>
    </row>
    <row r="7" spans="1:5" x14ac:dyDescent="0.25">
      <c r="A7" t="s">
        <v>13</v>
      </c>
      <c r="B7" s="5">
        <v>45935</v>
      </c>
      <c r="C7" s="13">
        <v>20</v>
      </c>
      <c r="D7" s="13">
        <v>15</v>
      </c>
      <c r="E7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165</v>
      </c>
    </row>
    <row r="8" spans="1:5" x14ac:dyDescent="0.25">
      <c r="A8" t="s">
        <v>8</v>
      </c>
      <c r="B8" s="5">
        <v>43702</v>
      </c>
      <c r="C8" s="13">
        <v>3</v>
      </c>
      <c r="E8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3</v>
      </c>
    </row>
    <row r="9" spans="1:5" x14ac:dyDescent="0.25">
      <c r="A9" t="s">
        <v>13</v>
      </c>
      <c r="B9" s="5">
        <v>43703</v>
      </c>
      <c r="C9" s="13">
        <v>160</v>
      </c>
      <c r="E9" s="14">
        <f>SUMIFS(TBlancamentos[ENTRADA],TBlancamentos[PRODUTO],TBlancamentos[[#This Row],[PRODUTO]],TBlancamentos[DATA],"&lt;="&amp;TBlancamentos[[#This Row],[DATA]])-SUMIFS(TBlancamentos[SAÍDA],TBlancamentos[PRODUTO],TBlancamentos[[#This Row],[PRODUTO]],TBlancamentos[DATA],"&lt;="&amp;TBlancamentos[[#This Row],[DATA]])</f>
        <v>160</v>
      </c>
    </row>
    <row r="10" spans="1:5" x14ac:dyDescent="0.25">
      <c r="A10" t="s">
        <v>12</v>
      </c>
      <c r="B10">
        <f>SUBTOTAL(103,TBlancamentos[DATA])</f>
        <v>6</v>
      </c>
      <c r="C10" s="13">
        <f>SUBTOTAL(109,TBlancamentos[ENTRADA])</f>
        <v>263</v>
      </c>
      <c r="D10" s="13">
        <f>SUBTOTAL(109,TBlancamentos[SAÍDA])</f>
        <v>76</v>
      </c>
      <c r="E10" s="3">
        <f>SUBTOTAL(103,TBlancamentos[SALDO])</f>
        <v>6</v>
      </c>
    </row>
  </sheetData>
  <conditionalFormatting sqref="E4:E9">
    <cfRule type="cellIs" dxfId="8" priority="1" operator="lessThan">
      <formula>0</formula>
    </cfRule>
  </conditionalFormatting>
  <dataValidations count="1">
    <dataValidation type="list" allowBlank="1" showInputMessage="1" showErrorMessage="1" sqref="A4:A9" xr:uid="{0BCE63CA-634F-4E3F-A27E-7B771F9D6181}">
      <formula1>ColunaProdutos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Inicío</vt:lpstr>
      <vt:lpstr>Cadastro</vt:lpstr>
      <vt:lpstr>Lançamentos</vt:lpstr>
      <vt:lpstr>ColunaProdutos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Nomura</dc:creator>
  <cp:lastModifiedBy>Nomura</cp:lastModifiedBy>
  <dcterms:created xsi:type="dcterms:W3CDTF">2015-06-05T18:19:34Z</dcterms:created>
  <dcterms:modified xsi:type="dcterms:W3CDTF">2025-11-25T15:50:54Z</dcterms:modified>
</cp:coreProperties>
</file>